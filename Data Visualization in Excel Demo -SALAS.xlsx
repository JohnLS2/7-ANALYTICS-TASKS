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OMLAB\Downloads\"/>
    </mc:Choice>
  </mc:AlternateContent>
  <xr:revisionPtr revIDLastSave="0" documentId="8_{7781AD36-D970-429E-8A2D-029A8E1EDFE6}" xr6:coauthVersionLast="47" xr6:coauthVersionMax="47" xr10:uidLastSave="{00000000-0000-0000-0000-000000000000}"/>
  <bookViews>
    <workbookView xWindow="-120" yWindow="-120" windowWidth="29040" windowHeight="15840" activeTab="2" xr2:uid="{00000000-000D-0000-FFFF-FFFF00000000}"/>
  </bookViews>
  <sheets>
    <sheet name="Data" sheetId="1" r:id="rId1"/>
    <sheet name="Analyze" sheetId="5" r:id="rId2"/>
    <sheet name="Dashboard" sheetId="6" r:id="rId3"/>
  </sheets>
  <definedNames>
    <definedName name="Slicer_Region">#N/A</definedName>
  </definedNames>
  <calcPr calcId="191029"/>
  <pivotCaches>
    <pivotCache cacheId="24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6" l="1"/>
  <c r="K22" i="6"/>
  <c r="I22" i="6"/>
  <c r="E22" i="6"/>
  <c r="F22" i="6"/>
  <c r="D22" i="6"/>
  <c r="G22" i="5"/>
  <c r="H22" i="5"/>
  <c r="G23" i="5"/>
  <c r="H23" i="5"/>
  <c r="G24" i="5"/>
  <c r="H24" i="5"/>
  <c r="G25" i="5"/>
  <c r="H25" i="5"/>
  <c r="G26" i="5"/>
  <c r="H26" i="5"/>
  <c r="G27" i="5"/>
  <c r="H27" i="5"/>
  <c r="G28" i="5"/>
  <c r="H28" i="5"/>
  <c r="G29" i="5"/>
  <c r="H29" i="5"/>
  <c r="F22" i="5"/>
  <c r="F23" i="5"/>
  <c r="F24" i="5"/>
  <c r="F25" i="5"/>
  <c r="E26" i="5"/>
  <c r="F26" i="5"/>
  <c r="F27" i="5"/>
  <c r="F28" i="5"/>
  <c r="F29" i="5"/>
  <c r="E22" i="5"/>
  <c r="F12" i="5"/>
  <c r="D16" i="6" s="1"/>
  <c r="G12" i="5"/>
  <c r="E16" i="6" s="1"/>
  <c r="F13" i="5"/>
  <c r="D17" i="6" s="1"/>
  <c r="G13" i="5"/>
  <c r="E17" i="6" s="1"/>
  <c r="F17" i="6" s="1"/>
  <c r="F14" i="5"/>
  <c r="D18" i="6" s="1"/>
  <c r="G14" i="5"/>
  <c r="E18" i="6" s="1"/>
  <c r="F18" i="6" s="1"/>
  <c r="F15" i="5"/>
  <c r="D19" i="6" s="1"/>
  <c r="G15" i="5"/>
  <c r="E19" i="6" s="1"/>
  <c r="F19" i="6" s="1"/>
  <c r="F16" i="5"/>
  <c r="D20" i="6" s="1"/>
  <c r="G16" i="5"/>
  <c r="E20" i="6" s="1"/>
  <c r="F17" i="5"/>
  <c r="D21" i="6" s="1"/>
  <c r="G17" i="5"/>
  <c r="E21" i="6" s="1"/>
  <c r="D55" i="5"/>
  <c r="H17" i="6" s="1"/>
  <c r="E55" i="5"/>
  <c r="I17" i="6" s="1"/>
  <c r="F55" i="5"/>
  <c r="J17" i="6" s="1"/>
  <c r="K17" i="6" s="1"/>
  <c r="D56" i="5"/>
  <c r="H18" i="6" s="1"/>
  <c r="E56" i="5"/>
  <c r="I18" i="6" s="1"/>
  <c r="F56" i="5"/>
  <c r="J18" i="6" s="1"/>
  <c r="K18" i="6" s="1"/>
  <c r="D57" i="5"/>
  <c r="H19" i="6" s="1"/>
  <c r="E57" i="5"/>
  <c r="I19" i="6" s="1"/>
  <c r="F57" i="5"/>
  <c r="J19" i="6" s="1"/>
  <c r="D58" i="5"/>
  <c r="H20" i="6" s="1"/>
  <c r="E58" i="5"/>
  <c r="I20" i="6" s="1"/>
  <c r="F58" i="5"/>
  <c r="J20" i="6" s="1"/>
  <c r="D59" i="5"/>
  <c r="H21" i="6" s="1"/>
  <c r="E59" i="5"/>
  <c r="I21" i="6" s="1"/>
  <c r="F59" i="5"/>
  <c r="J21" i="6" s="1"/>
  <c r="E54" i="5"/>
  <c r="I16" i="6" s="1"/>
  <c r="F54" i="5"/>
  <c r="J16" i="6" s="1"/>
  <c r="D54" i="5"/>
  <c r="H16" i="6" s="1"/>
  <c r="E13" i="5"/>
  <c r="C17" i="6" s="1"/>
  <c r="E14" i="5"/>
  <c r="C18" i="6" s="1"/>
  <c r="E15" i="5"/>
  <c r="C19" i="6" s="1"/>
  <c r="E16" i="5"/>
  <c r="C20" i="6" s="1"/>
  <c r="E17" i="5"/>
  <c r="C21" i="6" s="1"/>
  <c r="E12" i="5"/>
  <c r="C16" i="6" s="1"/>
  <c r="F20" i="6" l="1"/>
  <c r="K20" i="6"/>
  <c r="K19" i="6"/>
  <c r="K16" i="6"/>
  <c r="F16" i="6"/>
  <c r="F21" i="6"/>
  <c r="K21" i="6"/>
</calcChain>
</file>

<file path=xl/sharedStrings.xml><?xml version="1.0" encoding="utf-8"?>
<sst xmlns="http://schemas.openxmlformats.org/spreadsheetml/2006/main" count="48305" uniqueCount="155">
  <si>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</si>
  <si>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</si>
  <si>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</si>
  <si>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</si>
  <si>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</si>
  <si>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</si>
  <si>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</si>
  <si>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</si>
  <si>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</si>
  <si>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</si>
  <si>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</si>
  <si>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</si>
  <si>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</si>
  <si>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</si>
  <si>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</si>
  <si>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</si>
  <si>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</si>
  <si>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</si>
  <si>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</si>
  <si>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</si>
  <si>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</si>
  <si>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</si>
  <si>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</si>
  <si>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</si>
  <si>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</si>
  <si>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</si>
  <si>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</si>
  <si>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</si>
  <si>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</si>
  <si>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</si>
  <si>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</si>
  <si>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</si>
  <si>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</si>
  <si>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</si>
  <si>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</si>
  <si>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</si>
  <si>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</si>
  <si>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</si>
  <si>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</si>
  <si>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</si>
  <si>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</si>
  <si>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</si>
  <si>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</si>
  <si>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</si>
  <si>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</si>
  <si>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</si>
  <si>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</si>
  <si>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</si>
  <si>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</si>
  <si>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</si>
  <si>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</si>
  <si>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</si>
  <si>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</si>
  <si>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</si>
  <si>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</si>
  <si>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</si>
  <si>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</si>
  <si>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</si>
  <si>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</si>
  <si>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</si>
  <si>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</si>
  <si>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</si>
  <si>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</si>
  <si>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</si>
  <si>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</si>
  <si>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</si>
  <si>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</si>
  <si>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</si>
  <si>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</si>
  <si>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</si>
  <si>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</si>
  <si>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</si>
  <si>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</si>
  <si>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</si>
  <si>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</si>
  <si>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</si>
  <si>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</si>
  <si>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</si>
  <si>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</si>
  <si>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</si>
  <si>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</si>
  <si>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</si>
  <si>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</si>
  <si>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</si>
  <si>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</si>
  <si>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</si>
  <si>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</si>
  <si>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</si>
  <si>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</si>
  <si>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</si>
  <si>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</si>
  <si>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</si>
  <si>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</si>
  <si>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</si>
  <si>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</si>
  <si>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</si>
  <si>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</si>
  <si>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</si>
  <si>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</si>
  <si>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</si>
  <si>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</si>
  <si>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</si>
  <si>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</si>
  <si>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</si>
  <si>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</si>
  <si>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</si>
  <si>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</si>
  <si>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</si>
  <si>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</si>
  <si>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</si>
  <si>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</si>
  <si>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</si>
  <si>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</si>
  <si>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</si>
  <si>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</si>
  <si>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</si>
  <si>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</si>
  <si>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</si>
  <si>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</si>
  <si>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</si>
  <si>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</si>
  <si>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</si>
  <si>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</si>
  <si>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</si>
  <si>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</si>
  <si>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</si>
  <si>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</si>
  <si>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</si>
  <si>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</si>
  <si>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</si>
  <si>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</si>
  <si>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KPI's</t>
  </si>
  <si>
    <t>Total Profit</t>
  </si>
  <si>
    <t>Total Profit Margin</t>
  </si>
  <si>
    <t>Average Profit Margin</t>
  </si>
  <si>
    <t>Sum of Total Sales</t>
  </si>
  <si>
    <t>Average of Operating Margin</t>
  </si>
  <si>
    <t>Sum of Operating Profit</t>
  </si>
  <si>
    <t>Row Labels</t>
  </si>
  <si>
    <t>Total Retailer Sales</t>
  </si>
  <si>
    <t>2022</t>
  </si>
  <si>
    <t>2023</t>
  </si>
  <si>
    <t>Qtr1</t>
  </si>
  <si>
    <t>Qtr2</t>
  </si>
  <si>
    <t>Qtr3</t>
  </si>
  <si>
    <t>Qtr4</t>
  </si>
  <si>
    <t>Average of Operating Profit</t>
  </si>
  <si>
    <t>Column Labels</t>
  </si>
  <si>
    <t>Sum of Units Sold</t>
  </si>
  <si>
    <t>BRAND</t>
  </si>
  <si>
    <t>SALES 2022</t>
  </si>
  <si>
    <t>VARIANCE</t>
  </si>
  <si>
    <t>RETAILER</t>
  </si>
  <si>
    <t>SALES 2023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</si>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</sst>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_);[Red]\(&quot;$&quot;#,##0.00\)"/>
    <numFmt numFmtId="166" formatCode="[$$-409]#,##0.00"/>
    <numFmt numFmtId="170" formatCode="_-[$$-409]* #,##0.00_ ;_-[$$-409]* \-#,##0.00\ ;_-[$$-409]* &quot;-&quot;??_ ;_-@_ "/>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s>
  <fills count="4">
    <fill>
      <patternFill patternType="none"/>
    </fill>
    <fill>
      <patternFill patternType="gray125"/>
    </fill>
    <fill>
      <patternFill patternType="solid">
        <fgColor rgb="FF2A3E68"/>
        <bgColor indexed="64"/>
      </patternFill>
    </fill>
    <fill>
      <patternFill patternType="solid">
        <fgColor rgb="FFC00000"/>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0" fontId="5" fillId="0" borderId="0" xfId="0" applyFont="1" applyAlignment="1">
      <alignment horizontal="center"/>
    </xf>
    <xf numFmtId="166" fontId="0" fillId="0" borderId="0" xfId="0" applyNumberFormat="1"/>
    <xf numFmtId="0" fontId="0" fillId="3" borderId="0" xfId="0" applyFill="1"/>
    <xf numFmtId="0" fontId="0" fillId="0" borderId="0" xfId="0" applyFill="1"/>
    <xf numFmtId="170" fontId="0" fillId="0" borderId="0" xfId="0" applyNumberFormat="1"/>
  </cellXfs>
  <cellStyles count="2">
    <cellStyle name="Hyperlink 2" xfId="1" xr:uid="{00000000-0005-0000-0000-000000000000}"/>
    <cellStyle name="Normal" xfId="0" builtinId="0"/>
  </cellStyles>
  <dxfs count="3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multiLvlStrRef>
              <c:f>Analyze!$E$22:$F$29</c:f>
              <c:multiLvlStrCache>
                <c:ptCount val="8"/>
                <c:lvl>
                  <c:pt idx="0">
                    <c:v>Qtr4</c:v>
                  </c:pt>
                  <c:pt idx="1">
                    <c:v>2023</c:v>
                  </c:pt>
                  <c:pt idx="2">
                    <c:v>Qtr1</c:v>
                  </c:pt>
                  <c:pt idx="3">
                    <c:v>Qtr2</c:v>
                  </c:pt>
                  <c:pt idx="4">
                    <c:v>Qtr4</c:v>
                  </c:pt>
                  <c:pt idx="5">
                    <c:v>0</c:v>
                  </c:pt>
                  <c:pt idx="6">
                    <c:v>0</c:v>
                  </c:pt>
                  <c:pt idx="7">
                    <c:v>0</c:v>
                  </c:pt>
                </c:lvl>
                <c:lvl>
                  <c:pt idx="0">
                    <c:v>2022</c:v>
                  </c:pt>
                  <c:pt idx="4">
                    <c:v>Qtr3</c:v>
                  </c:pt>
                </c:lvl>
              </c:multiLvlStrCache>
            </c:multiLvlStrRef>
          </c:cat>
          <c:val>
            <c:numRef>
              <c:f>Analyze!$G$22:$G$29</c:f>
              <c:numCache>
                <c:formatCode>_-[$$-409]* #,##0.00_ ;_-[$$-409]* \-#,##0.00\ ;_-[$$-409]* "-"??_ ;_-@_ </c:formatCode>
                <c:ptCount val="8"/>
                <c:pt idx="0">
                  <c:v>90391.799999999988</c:v>
                </c:pt>
                <c:pt idx="1">
                  <c:v>1577051.5999999999</c:v>
                </c:pt>
                <c:pt idx="2">
                  <c:v>383459.10000000003</c:v>
                </c:pt>
                <c:pt idx="3">
                  <c:v>355718.20000000007</c:v>
                </c:pt>
                <c:pt idx="4">
                  <c:v>354252.3</c:v>
                </c:pt>
                <c:pt idx="5">
                  <c:v>0</c:v>
                </c:pt>
                <c:pt idx="6">
                  <c:v>0</c:v>
                </c:pt>
                <c:pt idx="7">
                  <c:v>0</c:v>
                </c:pt>
              </c:numCache>
            </c:numRef>
          </c:val>
          <c:extLst>
            <c:ext xmlns:c16="http://schemas.microsoft.com/office/drawing/2014/chart" uri="{C3380CC4-5D6E-409C-BE32-E72D297353CC}">
              <c16:uniqueId val="{00000000-46E5-46F1-ACC3-D8BFB184BD1E}"/>
            </c:ext>
          </c:extLst>
        </c:ser>
        <c:dLbls>
          <c:showLegendKey val="0"/>
          <c:showVal val="0"/>
          <c:showCatName val="0"/>
          <c:showSerName val="0"/>
          <c:showPercent val="0"/>
          <c:showBubbleSize val="0"/>
        </c:dLbls>
        <c:gapWidth val="219"/>
        <c:overlap val="-27"/>
        <c:axId val="1291159311"/>
        <c:axId val="1291164591"/>
      </c:barChart>
      <c:lineChart>
        <c:grouping val="standard"/>
        <c:varyColors val="0"/>
        <c:ser>
          <c:idx val="1"/>
          <c:order val="1"/>
          <c:spPr>
            <a:ln w="28575" cap="rnd">
              <a:solidFill>
                <a:schemeClr val="accent2"/>
              </a:solidFill>
              <a:round/>
            </a:ln>
            <a:effectLst/>
          </c:spPr>
          <c:marker>
            <c:symbol val="none"/>
          </c:marker>
          <c:cat>
            <c:multiLvlStrRef>
              <c:f>Analyze!$E$22:$F$29</c:f>
              <c:multiLvlStrCache>
                <c:ptCount val="8"/>
                <c:lvl>
                  <c:pt idx="0">
                    <c:v>Qtr4</c:v>
                  </c:pt>
                  <c:pt idx="1">
                    <c:v>2023</c:v>
                  </c:pt>
                  <c:pt idx="2">
                    <c:v>Qtr1</c:v>
                  </c:pt>
                  <c:pt idx="3">
                    <c:v>Qtr2</c:v>
                  </c:pt>
                  <c:pt idx="4">
                    <c:v>Qtr4</c:v>
                  </c:pt>
                  <c:pt idx="5">
                    <c:v>0</c:v>
                  </c:pt>
                  <c:pt idx="6">
                    <c:v>0</c:v>
                  </c:pt>
                  <c:pt idx="7">
                    <c:v>0</c:v>
                  </c:pt>
                </c:lvl>
                <c:lvl>
                  <c:pt idx="0">
                    <c:v>2022</c:v>
                  </c:pt>
                  <c:pt idx="4">
                    <c:v>Qtr3</c:v>
                  </c:pt>
                </c:lvl>
              </c:multiLvlStrCache>
            </c:multiLvlStrRef>
          </c:cat>
          <c:val>
            <c:numRef>
              <c:f>Analyze!$H$22:$H$29</c:f>
              <c:numCache>
                <c:formatCode>_-[$$-409]* #,##0.00_ ;_-[$$-409]* \-#,##0.00\ ;_-[$$-409]* "-"??_ ;_-@_ </c:formatCode>
                <c:ptCount val="8"/>
                <c:pt idx="0">
                  <c:v>241.15434722222233</c:v>
                </c:pt>
                <c:pt idx="1">
                  <c:v>376.8913755787035</c:v>
                </c:pt>
                <c:pt idx="2">
                  <c:v>338.11582264957269</c:v>
                </c:pt>
                <c:pt idx="3">
                  <c:v>327.64214380530979</c:v>
                </c:pt>
                <c:pt idx="4">
                  <c:v>447.28746296296299</c:v>
                </c:pt>
                <c:pt idx="5">
                  <c:v>0</c:v>
                </c:pt>
                <c:pt idx="6">
                  <c:v>0</c:v>
                </c:pt>
                <c:pt idx="7">
                  <c:v>0</c:v>
                </c:pt>
              </c:numCache>
            </c:numRef>
          </c:val>
          <c:smooth val="0"/>
          <c:extLst>
            <c:ext xmlns:c16="http://schemas.microsoft.com/office/drawing/2014/chart" uri="{C3380CC4-5D6E-409C-BE32-E72D297353CC}">
              <c16:uniqueId val="{00000001-46E5-46F1-ACC3-D8BFB184BD1E}"/>
            </c:ext>
          </c:extLst>
        </c:ser>
        <c:dLbls>
          <c:showLegendKey val="0"/>
          <c:showVal val="0"/>
          <c:showCatName val="0"/>
          <c:showSerName val="0"/>
          <c:showPercent val="0"/>
          <c:showBubbleSize val="0"/>
        </c:dLbls>
        <c:marker val="1"/>
        <c:smooth val="0"/>
        <c:axId val="1295937055"/>
        <c:axId val="1295933215"/>
      </c:lineChart>
      <c:catAx>
        <c:axId val="12911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164591"/>
        <c:crosses val="autoZero"/>
        <c:auto val="1"/>
        <c:lblAlgn val="ctr"/>
        <c:lblOffset val="100"/>
        <c:noMultiLvlLbl val="0"/>
      </c:catAx>
      <c:valAx>
        <c:axId val="129116459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159311"/>
        <c:crosses val="autoZero"/>
        <c:crossBetween val="between"/>
      </c:valAx>
      <c:valAx>
        <c:axId val="1295933215"/>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37055"/>
        <c:crosses val="max"/>
        <c:crossBetween val="between"/>
      </c:valAx>
      <c:catAx>
        <c:axId val="1295937055"/>
        <c:scaling>
          <c:orientation val="minMax"/>
        </c:scaling>
        <c:delete val="1"/>
        <c:axPos val="b"/>
        <c:numFmt formatCode="General" sourceLinked="1"/>
        <c:majorTickMark val="out"/>
        <c:minorTickMark val="none"/>
        <c:tickLblPos val="nextTo"/>
        <c:crossAx val="129593321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7000123305125384"/>
          <c:y val="9.5132255406826419E-2"/>
          <c:w val="0.66714304461942253"/>
          <c:h val="0.65846456692913391"/>
        </c:manualLayout>
      </c:layout>
      <c:barChart>
        <c:barDir val="col"/>
        <c:grouping val="clustered"/>
        <c:varyColors val="0"/>
        <c:ser>
          <c:idx val="0"/>
          <c:order val="0"/>
          <c:spPr>
            <a:solidFill>
              <a:schemeClr val="accent3">
                <a:tint val="77000"/>
              </a:schemeClr>
            </a:solidFill>
            <a:ln>
              <a:noFill/>
            </a:ln>
            <a:effectLst/>
          </c:spPr>
          <c:invertIfNegative val="0"/>
          <c:cat>
            <c:multiLvlStrRef>
              <c:f>Analyze!$E$22:$F$29</c:f>
              <c:multiLvlStrCache>
                <c:ptCount val="8"/>
                <c:lvl>
                  <c:pt idx="0">
                    <c:v>Qtr4</c:v>
                  </c:pt>
                  <c:pt idx="1">
                    <c:v>2023</c:v>
                  </c:pt>
                  <c:pt idx="2">
                    <c:v>Qtr1</c:v>
                  </c:pt>
                  <c:pt idx="3">
                    <c:v>Qtr2</c:v>
                  </c:pt>
                  <c:pt idx="4">
                    <c:v>Qtr4</c:v>
                  </c:pt>
                  <c:pt idx="5">
                    <c:v>0</c:v>
                  </c:pt>
                  <c:pt idx="6">
                    <c:v>0</c:v>
                  </c:pt>
                  <c:pt idx="7">
                    <c:v>0</c:v>
                  </c:pt>
                </c:lvl>
                <c:lvl>
                  <c:pt idx="0">
                    <c:v>2022</c:v>
                  </c:pt>
                  <c:pt idx="4">
                    <c:v>Qtr3</c:v>
                  </c:pt>
                </c:lvl>
              </c:multiLvlStrCache>
            </c:multiLvlStrRef>
          </c:cat>
          <c:val>
            <c:numRef>
              <c:f>Analyze!$G$22:$G$29</c:f>
              <c:numCache>
                <c:formatCode>_-[$$-409]* #,##0.00_ ;_-[$$-409]* \-#,##0.00\ ;_-[$$-409]* "-"??_ ;_-@_ </c:formatCode>
                <c:ptCount val="8"/>
                <c:pt idx="0">
                  <c:v>90391.799999999988</c:v>
                </c:pt>
                <c:pt idx="1">
                  <c:v>1577051.5999999999</c:v>
                </c:pt>
                <c:pt idx="2">
                  <c:v>383459.10000000003</c:v>
                </c:pt>
                <c:pt idx="3">
                  <c:v>355718.20000000007</c:v>
                </c:pt>
                <c:pt idx="4">
                  <c:v>354252.3</c:v>
                </c:pt>
                <c:pt idx="5">
                  <c:v>0</c:v>
                </c:pt>
                <c:pt idx="6">
                  <c:v>0</c:v>
                </c:pt>
                <c:pt idx="7">
                  <c:v>0</c:v>
                </c:pt>
              </c:numCache>
            </c:numRef>
          </c:val>
          <c:extLst>
            <c:ext xmlns:c16="http://schemas.microsoft.com/office/drawing/2014/chart" uri="{C3380CC4-5D6E-409C-BE32-E72D297353CC}">
              <c16:uniqueId val="{00000000-2CB7-42D2-89DD-5B9AC5B2AA82}"/>
            </c:ext>
          </c:extLst>
        </c:ser>
        <c:dLbls>
          <c:showLegendKey val="0"/>
          <c:showVal val="0"/>
          <c:showCatName val="0"/>
          <c:showSerName val="0"/>
          <c:showPercent val="0"/>
          <c:showBubbleSize val="0"/>
        </c:dLbls>
        <c:gapWidth val="219"/>
        <c:overlap val="-27"/>
        <c:axId val="1291159311"/>
        <c:axId val="1291164591"/>
      </c:barChart>
      <c:lineChart>
        <c:grouping val="standard"/>
        <c:varyColors val="0"/>
        <c:ser>
          <c:idx val="1"/>
          <c:order val="1"/>
          <c:spPr>
            <a:ln w="28575" cap="rnd">
              <a:solidFill>
                <a:schemeClr val="accent3">
                  <a:shade val="76000"/>
                </a:schemeClr>
              </a:solidFill>
              <a:round/>
            </a:ln>
            <a:effectLst/>
          </c:spPr>
          <c:marker>
            <c:symbol val="none"/>
          </c:marker>
          <c:cat>
            <c:multiLvlStrRef>
              <c:f>Analyze!$E$22:$F$29</c:f>
              <c:multiLvlStrCache>
                <c:ptCount val="8"/>
                <c:lvl>
                  <c:pt idx="0">
                    <c:v>Qtr4</c:v>
                  </c:pt>
                  <c:pt idx="1">
                    <c:v>2023</c:v>
                  </c:pt>
                  <c:pt idx="2">
                    <c:v>Qtr1</c:v>
                  </c:pt>
                  <c:pt idx="3">
                    <c:v>Qtr2</c:v>
                  </c:pt>
                  <c:pt idx="4">
                    <c:v>Qtr4</c:v>
                  </c:pt>
                  <c:pt idx="5">
                    <c:v>0</c:v>
                  </c:pt>
                  <c:pt idx="6">
                    <c:v>0</c:v>
                  </c:pt>
                  <c:pt idx="7">
                    <c:v>0</c:v>
                  </c:pt>
                </c:lvl>
                <c:lvl>
                  <c:pt idx="0">
                    <c:v>2022</c:v>
                  </c:pt>
                  <c:pt idx="4">
                    <c:v>Qtr3</c:v>
                  </c:pt>
                </c:lvl>
              </c:multiLvlStrCache>
            </c:multiLvlStrRef>
          </c:cat>
          <c:val>
            <c:numRef>
              <c:f>Analyze!$H$22:$H$29</c:f>
              <c:numCache>
                <c:formatCode>_-[$$-409]* #,##0.00_ ;_-[$$-409]* \-#,##0.00\ ;_-[$$-409]* "-"??_ ;_-@_ </c:formatCode>
                <c:ptCount val="8"/>
                <c:pt idx="0">
                  <c:v>241.15434722222233</c:v>
                </c:pt>
                <c:pt idx="1">
                  <c:v>376.8913755787035</c:v>
                </c:pt>
                <c:pt idx="2">
                  <c:v>338.11582264957269</c:v>
                </c:pt>
                <c:pt idx="3">
                  <c:v>327.64214380530979</c:v>
                </c:pt>
                <c:pt idx="4">
                  <c:v>447.28746296296299</c:v>
                </c:pt>
                <c:pt idx="5">
                  <c:v>0</c:v>
                </c:pt>
                <c:pt idx="6">
                  <c:v>0</c:v>
                </c:pt>
                <c:pt idx="7">
                  <c:v>0</c:v>
                </c:pt>
              </c:numCache>
            </c:numRef>
          </c:val>
          <c:smooth val="0"/>
          <c:extLst>
            <c:ext xmlns:c16="http://schemas.microsoft.com/office/drawing/2014/chart" uri="{C3380CC4-5D6E-409C-BE32-E72D297353CC}">
              <c16:uniqueId val="{00000001-2CB7-42D2-89DD-5B9AC5B2AA82}"/>
            </c:ext>
          </c:extLst>
        </c:ser>
        <c:dLbls>
          <c:showLegendKey val="0"/>
          <c:showVal val="0"/>
          <c:showCatName val="0"/>
          <c:showSerName val="0"/>
          <c:showPercent val="0"/>
          <c:showBubbleSize val="0"/>
        </c:dLbls>
        <c:marker val="1"/>
        <c:smooth val="0"/>
        <c:axId val="1295937055"/>
        <c:axId val="1295933215"/>
      </c:lineChart>
      <c:catAx>
        <c:axId val="12911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164591"/>
        <c:crosses val="autoZero"/>
        <c:auto val="1"/>
        <c:lblAlgn val="ctr"/>
        <c:lblOffset val="100"/>
        <c:noMultiLvlLbl val="0"/>
      </c:catAx>
      <c:valAx>
        <c:axId val="129116459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159311"/>
        <c:crosses val="autoZero"/>
        <c:crossBetween val="between"/>
      </c:valAx>
      <c:valAx>
        <c:axId val="1295933215"/>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37055"/>
        <c:crosses val="max"/>
        <c:crossBetween val="between"/>
      </c:valAx>
      <c:catAx>
        <c:axId val="1295937055"/>
        <c:scaling>
          <c:orientation val="minMax"/>
        </c:scaling>
        <c:delete val="1"/>
        <c:axPos val="b"/>
        <c:numFmt formatCode="General" sourceLinked="1"/>
        <c:majorTickMark val="out"/>
        <c:minorTickMark val="none"/>
        <c:tickLblPos val="nextTo"/>
        <c:crossAx val="1295933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909637</xdr:colOff>
      <xdr:row>19</xdr:row>
      <xdr:rowOff>76200</xdr:rowOff>
    </xdr:from>
    <xdr:to>
      <xdr:col>12</xdr:col>
      <xdr:colOff>42862</xdr:colOff>
      <xdr:row>33</xdr:row>
      <xdr:rowOff>19050</xdr:rowOff>
    </xdr:to>
    <xdr:graphicFrame macro="">
      <xdr:nvGraphicFramePr>
        <xdr:cNvPr id="2" name="Chart 1">
          <a:extLst>
            <a:ext uri="{FF2B5EF4-FFF2-40B4-BE49-F238E27FC236}">
              <a16:creationId xmlns:a16="http://schemas.microsoft.com/office/drawing/2014/main" id="{87AB5375-8DD3-C191-D84E-EBC8D4804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1409700</xdr:colOff>
      <xdr:row>16</xdr:row>
      <xdr:rowOff>133350</xdr:rowOff>
    </xdr:from>
    <xdr:to>
      <xdr:col>7</xdr:col>
      <xdr:colOff>66675</xdr:colOff>
      <xdr:row>30</xdr:row>
      <xdr:rowOff>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1950FDED-DBB8-0190-01E7-B672AE258F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77400" y="3333750"/>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891208</xdr:colOff>
      <xdr:row>0</xdr:row>
      <xdr:rowOff>175177</xdr:rowOff>
    </xdr:from>
    <xdr:ext cx="9953625" cy="843757"/>
    <xdr:sp macro="" textlink="">
      <xdr:nvSpPr>
        <xdr:cNvPr id="2" name="TextBox 1">
          <a:extLst>
            <a:ext uri="{FF2B5EF4-FFF2-40B4-BE49-F238E27FC236}">
              <a16:creationId xmlns:a16="http://schemas.microsoft.com/office/drawing/2014/main" id="{496BFAF5-08D0-C73F-E188-844147E6593C}"/>
            </a:ext>
          </a:extLst>
        </xdr:cNvPr>
        <xdr:cNvSpPr txBox="1"/>
      </xdr:nvSpPr>
      <xdr:spPr>
        <a:xfrm>
          <a:off x="2662858" y="175177"/>
          <a:ext cx="9953625"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4800" b="1">
              <a:solidFill>
                <a:schemeClr val="bg2"/>
              </a:solidFill>
              <a:latin typeface="+mn-lt"/>
            </a:rPr>
            <a:t>COCA-COLA SALES DASHOBOARD</a:t>
          </a:r>
        </a:p>
      </xdr:txBody>
    </xdr:sp>
    <xdr:clientData/>
  </xdr:oneCellAnchor>
  <xdr:twoCellAnchor editAs="oneCell">
    <xdr:from>
      <xdr:col>0</xdr:col>
      <xdr:colOff>0</xdr:colOff>
      <xdr:row>0</xdr:row>
      <xdr:rowOff>0</xdr:rowOff>
    </xdr:from>
    <xdr:to>
      <xdr:col>1</xdr:col>
      <xdr:colOff>190500</xdr:colOff>
      <xdr:row>7</xdr:row>
      <xdr:rowOff>43703</xdr:rowOff>
    </xdr:to>
    <xdr:pic>
      <xdr:nvPicPr>
        <xdr:cNvPr id="3" name="Picture 2" descr="Coca-Cola Logo and symbol, meaning, history, PNG, brand">
          <a:extLst>
            <a:ext uri="{FF2B5EF4-FFF2-40B4-BE49-F238E27FC236}">
              <a16:creationId xmlns:a16="http://schemas.microsoft.com/office/drawing/2014/main" id="{A14E3AB6-6E4C-3650-18AB-0174600DDDF8}"/>
            </a:ext>
          </a:extLst>
        </xdr:cNvPr>
        <xdr:cNvPicPr>
          <a:picLocks noChangeAspect="1" noChangeArrowheads="1"/>
        </xdr:cNvPicPr>
      </xdr:nvPicPr>
      <xdr:blipFill>
        <a:blip xmlns:r="http://schemas.openxmlformats.org/officeDocument/2006/relationships" r:embed="rId1" cstate="print">
          <a:biLevel thresh="25000"/>
          <a:extLst>
            <a:ext uri="{28A0092B-C50C-407E-A947-70E740481C1C}">
              <a14:useLocalDpi xmlns:a14="http://schemas.microsoft.com/office/drawing/2010/main" val="0"/>
            </a:ext>
          </a:extLst>
        </a:blip>
        <a:srcRect/>
        <a:stretch>
          <a:fillRect/>
        </a:stretch>
      </xdr:blipFill>
      <xdr:spPr bwMode="auto">
        <a:xfrm>
          <a:off x="0" y="0"/>
          <a:ext cx="2577353" cy="1455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256763</xdr:colOff>
      <xdr:row>6</xdr:row>
      <xdr:rowOff>126219</xdr:rowOff>
    </xdr:from>
    <xdr:to>
      <xdr:col>3</xdr:col>
      <xdr:colOff>904876</xdr:colOff>
      <xdr:row>11</xdr:row>
      <xdr:rowOff>167632</xdr:rowOff>
    </xdr:to>
    <xdr:sp macro="" textlink="">
      <xdr:nvSpPr>
        <xdr:cNvPr id="4" name="Rectangle: Rounded Corners 3">
          <a:extLst>
            <a:ext uri="{FF2B5EF4-FFF2-40B4-BE49-F238E27FC236}">
              <a16:creationId xmlns:a16="http://schemas.microsoft.com/office/drawing/2014/main" id="{E8CE5FBD-666D-351B-DFFA-6DE0B1CFC7FF}"/>
            </a:ext>
          </a:extLst>
        </xdr:cNvPr>
        <xdr:cNvSpPr/>
      </xdr:nvSpPr>
      <xdr:spPr>
        <a:xfrm>
          <a:off x="2643616" y="1336454"/>
          <a:ext cx="3034966" cy="1049943"/>
        </a:xfrm>
        <a:prstGeom prst="roundRect">
          <a:avLst/>
        </a:prstGeom>
        <a:solidFill>
          <a:srgbClr val="C00000"/>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PH" sz="2000" b="0"/>
            <a:t>TOTAL SALES</a:t>
          </a:r>
        </a:p>
      </xdr:txBody>
    </xdr:sp>
    <xdr:clientData/>
  </xdr:twoCellAnchor>
  <xdr:twoCellAnchor>
    <xdr:from>
      <xdr:col>1</xdr:col>
      <xdr:colOff>393033</xdr:colOff>
      <xdr:row>9</xdr:row>
      <xdr:rowOff>68076</xdr:rowOff>
    </xdr:from>
    <xdr:to>
      <xdr:col>3</xdr:col>
      <xdr:colOff>776518</xdr:colOff>
      <xdr:row>10</xdr:row>
      <xdr:rowOff>185713</xdr:rowOff>
    </xdr:to>
    <xdr:sp macro="" textlink="Analyze!B5">
      <xdr:nvSpPr>
        <xdr:cNvPr id="6" name="TextBox 5">
          <a:extLst>
            <a:ext uri="{FF2B5EF4-FFF2-40B4-BE49-F238E27FC236}">
              <a16:creationId xmlns:a16="http://schemas.microsoft.com/office/drawing/2014/main" id="{2C23A340-13E5-C8EF-9A3C-84BC37216A7F}"/>
            </a:ext>
          </a:extLst>
        </xdr:cNvPr>
        <xdr:cNvSpPr txBox="1"/>
      </xdr:nvSpPr>
      <xdr:spPr>
        <a:xfrm>
          <a:off x="2779886" y="1883429"/>
          <a:ext cx="2770338" cy="319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9322D8-F8E0-4FF3-9D89-E6FCF6278AC9}" type="TxLink">
            <a:rPr lang="en-US" sz="2000" b="1" i="0" u="none" strike="noStrike">
              <a:solidFill>
                <a:schemeClr val="bg1"/>
              </a:solidFill>
              <a:latin typeface="Calibri"/>
              <a:cs typeface="Calibri"/>
            </a:rPr>
            <a:pPr algn="ctr"/>
            <a:t>$12,016,665 </a:t>
          </a:fld>
          <a:endParaRPr lang="en-PH" sz="1800" b="1">
            <a:solidFill>
              <a:schemeClr val="bg1"/>
            </a:solidFill>
          </a:endParaRPr>
        </a:p>
      </xdr:txBody>
    </xdr:sp>
    <xdr:clientData/>
  </xdr:twoCellAnchor>
  <xdr:twoCellAnchor>
    <xdr:from>
      <xdr:col>3</xdr:col>
      <xdr:colOff>1274398</xdr:colOff>
      <xdr:row>6</xdr:row>
      <xdr:rowOff>126219</xdr:rowOff>
    </xdr:from>
    <xdr:to>
      <xdr:col>6</xdr:col>
      <xdr:colOff>254847</xdr:colOff>
      <xdr:row>11</xdr:row>
      <xdr:rowOff>167632</xdr:rowOff>
    </xdr:to>
    <xdr:sp macro="" textlink="">
      <xdr:nvSpPr>
        <xdr:cNvPr id="8" name="Rectangle: Rounded Corners 7">
          <a:extLst>
            <a:ext uri="{FF2B5EF4-FFF2-40B4-BE49-F238E27FC236}">
              <a16:creationId xmlns:a16="http://schemas.microsoft.com/office/drawing/2014/main" id="{1764C672-370F-4284-816A-C4E77EDCECC9}"/>
            </a:ext>
          </a:extLst>
        </xdr:cNvPr>
        <xdr:cNvSpPr/>
      </xdr:nvSpPr>
      <xdr:spPr>
        <a:xfrm>
          <a:off x="6048104" y="1336454"/>
          <a:ext cx="2398243" cy="1049943"/>
        </a:xfrm>
        <a:prstGeom prst="roundRect">
          <a:avLst/>
        </a:prstGeom>
        <a:solidFill>
          <a:srgbClr val="C00000"/>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PH" sz="2000" b="0"/>
            <a:t>TOTAL</a:t>
          </a:r>
          <a:r>
            <a:rPr lang="en-PH" sz="2000" b="0" baseline="0"/>
            <a:t> UNIT SOLD</a:t>
          </a:r>
          <a:endParaRPr lang="en-PH" sz="2000" b="0"/>
        </a:p>
      </xdr:txBody>
    </xdr:sp>
    <xdr:clientData/>
  </xdr:twoCellAnchor>
  <xdr:twoCellAnchor>
    <xdr:from>
      <xdr:col>4</xdr:col>
      <xdr:colOff>312597</xdr:colOff>
      <xdr:row>9</xdr:row>
      <xdr:rowOff>57177</xdr:rowOff>
    </xdr:from>
    <xdr:to>
      <xdr:col>6</xdr:col>
      <xdr:colOff>757</xdr:colOff>
      <xdr:row>10</xdr:row>
      <xdr:rowOff>173133</xdr:rowOff>
    </xdr:to>
    <xdr:sp macro="" textlink="Analyze!M5">
      <xdr:nvSpPr>
        <xdr:cNvPr id="9" name="TextBox 8">
          <a:extLst>
            <a:ext uri="{FF2B5EF4-FFF2-40B4-BE49-F238E27FC236}">
              <a16:creationId xmlns:a16="http://schemas.microsoft.com/office/drawing/2014/main" id="{6FDCFC55-79DB-4E96-907A-2F1B7E77CCC7}"/>
            </a:ext>
          </a:extLst>
        </xdr:cNvPr>
        <xdr:cNvSpPr txBox="1"/>
      </xdr:nvSpPr>
      <xdr:spPr>
        <a:xfrm>
          <a:off x="6431009" y="1872530"/>
          <a:ext cx="2153454" cy="317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073E14-4912-4CAC-A889-AE386881FB59}" type="TxLink">
            <a:rPr lang="en-US" sz="2000" b="1" i="0" u="none" strike="noStrike">
              <a:solidFill>
                <a:schemeClr val="bg1"/>
              </a:solidFill>
              <a:latin typeface="Calibri"/>
              <a:cs typeface="Calibri"/>
            </a:rPr>
            <a:pPr algn="ctr"/>
            <a:t>24,788,610</a:t>
          </a:fld>
          <a:endParaRPr lang="en-PH" sz="2000" b="1">
            <a:solidFill>
              <a:schemeClr val="bg1"/>
            </a:solidFill>
          </a:endParaRPr>
        </a:p>
      </xdr:txBody>
    </xdr:sp>
    <xdr:clientData/>
  </xdr:twoCellAnchor>
  <xdr:twoCellAnchor>
    <xdr:from>
      <xdr:col>6</xdr:col>
      <xdr:colOff>624369</xdr:colOff>
      <xdr:row>6</xdr:row>
      <xdr:rowOff>126219</xdr:rowOff>
    </xdr:from>
    <xdr:to>
      <xdr:col>9</xdr:col>
      <xdr:colOff>675916</xdr:colOff>
      <xdr:row>11</xdr:row>
      <xdr:rowOff>167632</xdr:rowOff>
    </xdr:to>
    <xdr:sp macro="" textlink="">
      <xdr:nvSpPr>
        <xdr:cNvPr id="10" name="Rectangle: Rounded Corners 9">
          <a:extLst>
            <a:ext uri="{FF2B5EF4-FFF2-40B4-BE49-F238E27FC236}">
              <a16:creationId xmlns:a16="http://schemas.microsoft.com/office/drawing/2014/main" id="{514DE477-BA36-4C07-8B78-16E1CCD828D2}"/>
            </a:ext>
          </a:extLst>
        </xdr:cNvPr>
        <xdr:cNvSpPr/>
      </xdr:nvSpPr>
      <xdr:spPr>
        <a:xfrm>
          <a:off x="9208075" y="1336454"/>
          <a:ext cx="3121959" cy="1049943"/>
        </a:xfrm>
        <a:prstGeom prst="roundRect">
          <a:avLst/>
        </a:prstGeom>
        <a:solidFill>
          <a:srgbClr val="C00000"/>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PH" sz="1600" b="0"/>
            <a:t>AVERAGE</a:t>
          </a:r>
          <a:r>
            <a:rPr lang="en-PH" sz="1600" b="0" baseline="0"/>
            <a:t> OPERATING MARGIN</a:t>
          </a:r>
          <a:endParaRPr lang="en-PH" sz="1600" b="0"/>
        </a:p>
      </xdr:txBody>
    </xdr:sp>
    <xdr:clientData/>
  </xdr:twoCellAnchor>
  <xdr:twoCellAnchor>
    <xdr:from>
      <xdr:col>6</xdr:col>
      <xdr:colOff>838932</xdr:colOff>
      <xdr:row>9</xdr:row>
      <xdr:rowOff>66652</xdr:rowOff>
    </xdr:from>
    <xdr:to>
      <xdr:col>9</xdr:col>
      <xdr:colOff>545922</xdr:colOff>
      <xdr:row>10</xdr:row>
      <xdr:rowOff>182608</xdr:rowOff>
    </xdr:to>
    <xdr:sp macro="" textlink="Analyze!G5">
      <xdr:nvSpPr>
        <xdr:cNvPr id="11" name="TextBox 10">
          <a:extLst>
            <a:ext uri="{FF2B5EF4-FFF2-40B4-BE49-F238E27FC236}">
              <a16:creationId xmlns:a16="http://schemas.microsoft.com/office/drawing/2014/main" id="{7069E671-9BA7-4324-9F0B-10625B8BE6A8}"/>
            </a:ext>
          </a:extLst>
        </xdr:cNvPr>
        <xdr:cNvSpPr txBox="1"/>
      </xdr:nvSpPr>
      <xdr:spPr>
        <a:xfrm>
          <a:off x="9030432" y="1882005"/>
          <a:ext cx="2777402" cy="317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612784-DDDC-46D1-9648-3B935F13060C}" type="TxLink">
            <a:rPr lang="en-US" sz="2000" b="1" i="0" u="none" strike="noStrike">
              <a:solidFill>
                <a:schemeClr val="bg1"/>
              </a:solidFill>
              <a:latin typeface="Calibri"/>
              <a:cs typeface="Calibri"/>
            </a:rPr>
            <a:pPr algn="ctr"/>
            <a:t>42%</a:t>
          </a:fld>
          <a:endParaRPr lang="en-PH" sz="2000" b="1">
            <a:solidFill>
              <a:schemeClr val="bg1"/>
            </a:solidFill>
          </a:endParaRPr>
        </a:p>
      </xdr:txBody>
    </xdr:sp>
    <xdr:clientData/>
  </xdr:twoCellAnchor>
  <xdr:twoCellAnchor>
    <xdr:from>
      <xdr:col>9</xdr:col>
      <xdr:colOff>1045438</xdr:colOff>
      <xdr:row>6</xdr:row>
      <xdr:rowOff>126219</xdr:rowOff>
    </xdr:from>
    <xdr:to>
      <xdr:col>12</xdr:col>
      <xdr:colOff>826581</xdr:colOff>
      <xdr:row>11</xdr:row>
      <xdr:rowOff>167632</xdr:rowOff>
    </xdr:to>
    <xdr:sp macro="" textlink="">
      <xdr:nvSpPr>
        <xdr:cNvPr id="12" name="Rectangle: Rounded Corners 11">
          <a:extLst>
            <a:ext uri="{FF2B5EF4-FFF2-40B4-BE49-F238E27FC236}">
              <a16:creationId xmlns:a16="http://schemas.microsoft.com/office/drawing/2014/main" id="{CEDDB812-0EAE-44D3-AF2B-F9AC60F52648}"/>
            </a:ext>
          </a:extLst>
        </xdr:cNvPr>
        <xdr:cNvSpPr/>
      </xdr:nvSpPr>
      <xdr:spPr>
        <a:xfrm>
          <a:off x="12699556" y="1336454"/>
          <a:ext cx="3254966" cy="1049943"/>
        </a:xfrm>
        <a:prstGeom prst="roundRect">
          <a:avLst/>
        </a:prstGeom>
        <a:solidFill>
          <a:srgbClr val="C00000"/>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PH" sz="1800" b="1"/>
            <a:t>AVERAGE</a:t>
          </a:r>
          <a:r>
            <a:rPr lang="en-PH" sz="1800" b="1" baseline="0"/>
            <a:t> OPERATING PROFIT</a:t>
          </a:r>
          <a:endParaRPr lang="en-PH" sz="1800" b="1"/>
        </a:p>
      </xdr:txBody>
    </xdr:sp>
    <xdr:clientData/>
  </xdr:twoCellAnchor>
  <xdr:twoCellAnchor>
    <xdr:from>
      <xdr:col>10</xdr:col>
      <xdr:colOff>476591</xdr:colOff>
      <xdr:row>9</xdr:row>
      <xdr:rowOff>34459</xdr:rowOff>
    </xdr:from>
    <xdr:to>
      <xdr:col>12</xdr:col>
      <xdr:colOff>142120</xdr:colOff>
      <xdr:row>10</xdr:row>
      <xdr:rowOff>152096</xdr:rowOff>
    </xdr:to>
    <xdr:sp macro="" textlink="Analyze!J5">
      <xdr:nvSpPr>
        <xdr:cNvPr id="13" name="TextBox 12">
          <a:extLst>
            <a:ext uri="{FF2B5EF4-FFF2-40B4-BE49-F238E27FC236}">
              <a16:creationId xmlns:a16="http://schemas.microsoft.com/office/drawing/2014/main" id="{701089EC-84BA-4096-BF73-F1F70DDBD09E}"/>
            </a:ext>
          </a:extLst>
        </xdr:cNvPr>
        <xdr:cNvSpPr txBox="1"/>
      </xdr:nvSpPr>
      <xdr:spPr>
        <a:xfrm>
          <a:off x="13374562" y="1849812"/>
          <a:ext cx="1895499" cy="319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539D4D-3EB8-4CBE-8897-6BBD34B42ACE}" type="TxLink">
            <a:rPr lang="en-US" sz="2000" b="1" i="0" u="none" strike="noStrike">
              <a:solidFill>
                <a:schemeClr val="bg1"/>
              </a:solidFill>
              <a:latin typeface="Calibri"/>
              <a:cs typeface="Calibri"/>
            </a:rPr>
            <a:pPr algn="ctr"/>
            <a:t>$489 </a:t>
          </a:fld>
          <a:endParaRPr lang="en-PH" sz="2000" b="1">
            <a:solidFill>
              <a:schemeClr val="bg1"/>
            </a:solidFill>
          </a:endParaRPr>
        </a:p>
      </xdr:txBody>
    </xdr:sp>
    <xdr:clientData/>
  </xdr:twoCellAnchor>
  <xdr:twoCellAnchor>
    <xdr:from>
      <xdr:col>2</xdr:col>
      <xdr:colOff>382682</xdr:colOff>
      <xdr:row>12</xdr:row>
      <xdr:rowOff>179294</xdr:rowOff>
    </xdr:from>
    <xdr:to>
      <xdr:col>5</xdr:col>
      <xdr:colOff>1199031</xdr:colOff>
      <xdr:row>14</xdr:row>
      <xdr:rowOff>0</xdr:rowOff>
    </xdr:to>
    <xdr:sp macro="" textlink="">
      <xdr:nvSpPr>
        <xdr:cNvPr id="14" name="TextBox 13">
          <a:extLst>
            <a:ext uri="{FF2B5EF4-FFF2-40B4-BE49-F238E27FC236}">
              <a16:creationId xmlns:a16="http://schemas.microsoft.com/office/drawing/2014/main" id="{7851D714-586C-41C4-818D-29E459BD3F2C}"/>
            </a:ext>
          </a:extLst>
        </xdr:cNvPr>
        <xdr:cNvSpPr txBox="1"/>
      </xdr:nvSpPr>
      <xdr:spPr>
        <a:xfrm>
          <a:off x="2769535" y="2599765"/>
          <a:ext cx="4547908"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bri"/>
              <a:cs typeface="Calibri"/>
            </a:rPr>
            <a:t>SALES</a:t>
          </a:r>
          <a:r>
            <a:rPr lang="en-US" sz="1600" b="1" i="0" u="none" strike="noStrike" baseline="0">
              <a:solidFill>
                <a:schemeClr val="bg1"/>
              </a:solidFill>
              <a:latin typeface="Calibri"/>
              <a:cs typeface="Calibri"/>
            </a:rPr>
            <a:t> BY BEVERAGE BRAND</a:t>
          </a:r>
          <a:endParaRPr lang="en-US" sz="1600" b="1" i="0" u="none" strike="noStrike">
            <a:solidFill>
              <a:schemeClr val="bg1"/>
            </a:solidFill>
            <a:latin typeface="Calibri"/>
            <a:cs typeface="Calibri"/>
          </a:endParaRPr>
        </a:p>
      </xdr:txBody>
    </xdr:sp>
    <xdr:clientData/>
  </xdr:twoCellAnchor>
  <xdr:twoCellAnchor>
    <xdr:from>
      <xdr:col>8</xdr:col>
      <xdr:colOff>42022</xdr:colOff>
      <xdr:row>12</xdr:row>
      <xdr:rowOff>190499</xdr:rowOff>
    </xdr:from>
    <xdr:to>
      <xdr:col>10</xdr:col>
      <xdr:colOff>481854</xdr:colOff>
      <xdr:row>13</xdr:row>
      <xdr:rowOff>264434</xdr:rowOff>
    </xdr:to>
    <xdr:sp macro="" textlink="Analyze!B5">
      <xdr:nvSpPr>
        <xdr:cNvPr id="16" name="TextBox 15">
          <a:extLst>
            <a:ext uri="{FF2B5EF4-FFF2-40B4-BE49-F238E27FC236}">
              <a16:creationId xmlns:a16="http://schemas.microsoft.com/office/drawing/2014/main" id="{24FC97F5-65D2-4F5D-8E30-6DD0E2C5D484}"/>
            </a:ext>
          </a:extLst>
        </xdr:cNvPr>
        <xdr:cNvSpPr txBox="1"/>
      </xdr:nvSpPr>
      <xdr:spPr>
        <a:xfrm>
          <a:off x="10597963" y="2610970"/>
          <a:ext cx="2781862" cy="275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bri"/>
              <a:cs typeface="Calibri"/>
            </a:rPr>
            <a:t>SALES</a:t>
          </a:r>
          <a:r>
            <a:rPr lang="en-US" sz="1600" b="1" i="0" u="none" strike="noStrike" baseline="0">
              <a:solidFill>
                <a:schemeClr val="bg1"/>
              </a:solidFill>
              <a:latin typeface="Calibri"/>
              <a:cs typeface="Calibri"/>
            </a:rPr>
            <a:t> BY RETAILER</a:t>
          </a:r>
          <a:endParaRPr lang="en-PH" sz="1400" b="1">
            <a:solidFill>
              <a:schemeClr val="bg1"/>
            </a:solidFill>
          </a:endParaRPr>
        </a:p>
      </xdr:txBody>
    </xdr:sp>
    <xdr:clientData/>
  </xdr:twoCellAnchor>
  <xdr:twoCellAnchor>
    <xdr:from>
      <xdr:col>1</xdr:col>
      <xdr:colOff>593911</xdr:colOff>
      <xdr:row>27</xdr:row>
      <xdr:rowOff>168088</xdr:rowOff>
    </xdr:from>
    <xdr:to>
      <xdr:col>12</xdr:col>
      <xdr:colOff>22412</xdr:colOff>
      <xdr:row>59</xdr:row>
      <xdr:rowOff>78441</xdr:rowOff>
    </xdr:to>
    <xdr:graphicFrame macro="">
      <xdr:nvGraphicFramePr>
        <xdr:cNvPr id="5" name="Chart 4">
          <a:extLst>
            <a:ext uri="{FF2B5EF4-FFF2-40B4-BE49-F238E27FC236}">
              <a16:creationId xmlns:a16="http://schemas.microsoft.com/office/drawing/2014/main" id="{BC08E122-450E-4291-9ACE-EF54E880B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823633</xdr:colOff>
      <xdr:row>29</xdr:row>
      <xdr:rowOff>123264</xdr:rowOff>
    </xdr:from>
    <xdr:to>
      <xdr:col>15</xdr:col>
      <xdr:colOff>80683</xdr:colOff>
      <xdr:row>42</xdr:row>
      <xdr:rowOff>157683</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5C1E2828-1C90-421D-8B7B-D49146B5E7B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186097" y="6110407"/>
              <a:ext cx="1828800" cy="268781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918882</xdr:colOff>
      <xdr:row>23</xdr:row>
      <xdr:rowOff>67236</xdr:rowOff>
    </xdr:from>
    <xdr:ext cx="9345706" cy="530658"/>
    <xdr:sp macro="" textlink="">
      <xdr:nvSpPr>
        <xdr:cNvPr id="15" name="TextBox 14">
          <a:extLst>
            <a:ext uri="{FF2B5EF4-FFF2-40B4-BE49-F238E27FC236}">
              <a16:creationId xmlns:a16="http://schemas.microsoft.com/office/drawing/2014/main" id="{AA3DB4BA-3375-ED44-BA92-82C18CF98D25}"/>
            </a:ext>
          </a:extLst>
        </xdr:cNvPr>
        <xdr:cNvSpPr txBox="1"/>
      </xdr:nvSpPr>
      <xdr:spPr>
        <a:xfrm>
          <a:off x="4437529" y="4784912"/>
          <a:ext cx="934570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800" b="1">
              <a:solidFill>
                <a:schemeClr val="bg1"/>
              </a:solidFill>
            </a:rPr>
            <a:t>SALES</a:t>
          </a:r>
          <a:r>
            <a:rPr lang="en-PH" sz="2800" b="1" baseline="0">
              <a:solidFill>
                <a:schemeClr val="bg1"/>
              </a:solidFill>
            </a:rPr>
            <a:t> AND AVERAGE PROFIT COMPARISON FOR 2022-2023</a:t>
          </a:r>
          <a:endParaRPr lang="en-PH" sz="2800" b="1">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36787199074" createdVersion="8" refreshedVersion="8" minRefreshableVersion="3" recordCount="9648" xr:uid="{FB39FD7D-892D-4DB1-A157-7196750B1A5D}">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758686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138610-ACED-4D45-890E-09C141FEB870}" name="PivotTable9"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4:J5"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Profit" fld="1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7C035C-2105-4D5E-8CAA-7826692D10DE}" name="PivotTable4"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4:G5"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numFmtId="164"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Margin" fld="11" subtotal="average" baseField="0" baseItem="0" numFmtId="9"/>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F73E9-DD73-4C26-8D10-39B2DC8FA95A}" name="PivotTable8" cacheId="24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B21:D28"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165" showAll="0"/>
    <pivotField numFmtId="3" showAll="0"/>
    <pivotField dataField="1" numFmtId="164" showAll="0"/>
    <pivotField dataField="1"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4"/>
    <field x="13"/>
  </rowFields>
  <rowItems count="7">
    <i>
      <x v="1"/>
    </i>
    <i r="1">
      <x v="4"/>
    </i>
    <i>
      <x v="2"/>
    </i>
    <i r="1">
      <x v="1"/>
    </i>
    <i r="1">
      <x v="2"/>
    </i>
    <i r="1">
      <x v="3"/>
    </i>
    <i r="1">
      <x v="4"/>
    </i>
  </rowItems>
  <colFields count="1">
    <field x="-2"/>
  </colFields>
  <colItems count="2">
    <i>
      <x/>
    </i>
    <i i="1">
      <x v="1"/>
    </i>
  </colItems>
  <dataFields count="2">
    <dataField name="Total Retailer Sales" fld="9" baseField="0" baseItem="0" numFmtId="164"/>
    <dataField name="Average of Operating Profit" fld="10" subtotal="average" baseField="13" baseItem="4"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873DA0-C350-4512-A642-93BB91266939}" name="PivotTable3"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4:F5"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823C5C-073B-4F07-B840-B7218780965B}" name="PivotTable2"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4:D5"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7F1367-0AE3-4C04-8F8C-B6F7776F7DBA}" name="PivotTable7" cacheId="2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52:C59"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sortType="descending">
      <items count="7">
        <item x="0"/>
        <item x="5"/>
        <item x="1"/>
        <item x="3"/>
        <item x="4"/>
        <item x="2"/>
        <item t="default"/>
      </items>
      <autoSortScope>
        <pivotArea dataOnly="0" outline="0" fieldPosition="0">
          <references count="2">
            <reference field="4294967294" count="1" selected="0">
              <x v="0"/>
            </reference>
            <reference field="14" count="1" selected="0">
              <x v="1"/>
            </reference>
          </references>
        </pivotArea>
      </autoSortScope>
    </pivotField>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6"/>
  </rowFields>
  <rowItems count="6">
    <i>
      <x/>
    </i>
    <i>
      <x v="1"/>
    </i>
    <i>
      <x v="2"/>
    </i>
    <i>
      <x v="5"/>
    </i>
    <i>
      <x v="4"/>
    </i>
    <i>
      <x v="3"/>
    </i>
  </rowItems>
  <colFields count="1">
    <field x="14"/>
  </colFields>
  <colItems count="2">
    <i>
      <x v="1"/>
    </i>
    <i>
      <x v="2"/>
    </i>
  </colItems>
  <dataFields count="1">
    <dataField name="Sum of Total Sales" fld="9" baseField="0" baseItem="0" numFmtId="164"/>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4E43D3-97E4-4DD5-BE7B-DE546A38AD19}" name="PivotTable6" cacheId="2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B10:D17" firstHeaderRow="1" firstDataRow="2" firstDataCol="1"/>
  <pivotFields count="15">
    <pivotField axis="axisRow" showAll="0" sortType="descending">
      <items count="7">
        <item x="4"/>
        <item x="3"/>
        <item x="5"/>
        <item x="2"/>
        <item x="0"/>
        <item x="1"/>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0"/>
  </rowFields>
  <rowItems count="6">
    <i>
      <x/>
    </i>
    <i>
      <x v="1"/>
    </i>
    <i>
      <x v="2"/>
    </i>
    <i>
      <x v="3"/>
    </i>
    <i>
      <x v="4"/>
    </i>
    <i>
      <x v="5"/>
    </i>
  </rowItems>
  <colFields count="1">
    <field x="14"/>
  </colFields>
  <colItems count="2">
    <i>
      <x v="1"/>
    </i>
    <i>
      <x v="2"/>
    </i>
  </colItems>
  <dataFields count="1">
    <dataField name="Sum of Total Sales" fld="9" baseField="0" baseItem="0" numFmtId="164"/>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ECDA21-88BA-4E13-BC9F-1B0B6D16DDE3}" name="PivotTable5"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B5"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BD7375-1B91-4DEF-A88F-5264A757C0C2}" name="PivotTable10"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4:M5"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dataField="1" numFmtId="3"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AFC546-0702-44FE-83D9-A295400D5380}" sourceName="Region">
  <pivotTables>
    <pivotTable tabId="5" name="PivotTable8"/>
  </pivotTables>
  <data>
    <tabular pivotCacheId="1758686856">
      <items count="5">
        <i x="3" s="1"/>
        <i x="0"/>
        <i x="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6EA0388-BB5E-4B21-9BC6-DE42050950FF}"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413092B-C408-40F9-9EAB-19B2E8BE566B}"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M9652" totalsRowShown="0" headerRowDxfId="36" dataDxfId="35" tableBorderDxfId="34">
  <autoFilter ref="B4:M9652" xr:uid="{00000000-0009-0000-0100-000001000000}"/>
  <tableColumns count="12">
    <tableColumn id="1" xr3:uid="{00000000-0010-0000-0000-000001000000}" name="Retailer" dataDxfId="33"/>
    <tableColumn id="2" xr3:uid="{00000000-0010-0000-0000-000002000000}" name="Retailer ID" dataDxfId="32"/>
    <tableColumn id="3" xr3:uid="{00000000-0010-0000-0000-000003000000}" name="Invoice Date" dataDxfId="31"/>
    <tableColumn id="4" xr3:uid="{00000000-0010-0000-0000-000004000000}" name="Region" dataDxfId="30"/>
    <tableColumn id="5" xr3:uid="{00000000-0010-0000-0000-000005000000}" name="State" dataDxfId="29"/>
    <tableColumn id="6" xr3:uid="{00000000-0010-0000-0000-000006000000}" name="City" dataDxfId="28"/>
    <tableColumn id="7" xr3:uid="{00000000-0010-0000-0000-000007000000}" name="Beverage Brand" dataDxfId="27"/>
    <tableColumn id="8" xr3:uid="{00000000-0010-0000-0000-000008000000}" name="Price per Unit" dataDxfId="26"/>
    <tableColumn id="9" xr3:uid="{00000000-0010-0000-0000-000009000000}" name="Units Sold" dataDxfId="25"/>
    <tableColumn id="10" xr3:uid="{00000000-0010-0000-0000-00000A000000}" name="Total Sales" dataDxfId="24"/>
    <tableColumn id="11" xr3:uid="{00000000-0010-0000-0000-00000B000000}" name="Operating Profit" dataDxfId="23"/>
    <tableColumn id="12" xr3:uid="{00000000-0010-0000-0000-00000C000000}" name="Operating Margin"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9652"/>
  <sheetViews>
    <sheetView topLeftCell="A5" zoomScaleNormal="100" workbookViewId="0">
      <selection activeCell="D17" sqref="B5:M9652"/>
    </sheetView>
  </sheetViews>
  <sheetFormatPr defaultColWidth="11.25" defaultRowHeight="15.75" x14ac:dyDescent="0.25"/>
  <cols>
    <col min="1" max="1" width="8.75" bestFit="1" customWidth="1"/>
    <col min="2" max="2" width="31.625" bestFit="1" customWidth="1"/>
    <col min="3" max="3" width="13.75" bestFit="1" customWidth="1"/>
    <col min="4" max="4" width="15.5" bestFit="1" customWidth="1"/>
    <col min="5" max="5" width="10.75" bestFit="1" customWidth="1"/>
    <col min="6" max="6" width="13.875" bestFit="1" customWidth="1"/>
    <col min="7" max="7" width="12.75" bestFit="1" customWidth="1"/>
    <col min="8" max="8" width="18.5" bestFit="1" customWidth="1"/>
    <col min="9" max="9" width="16.625" bestFit="1" customWidth="1"/>
    <col min="10" max="10" width="13.5" bestFit="1" customWidth="1"/>
    <col min="11" max="11" width="14" bestFit="1" customWidth="1"/>
    <col min="12" max="12" width="19" bestFit="1" customWidth="1"/>
    <col min="13" max="13" width="20.25" bestFit="1"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9"/>
  <sheetViews>
    <sheetView topLeftCell="B6" zoomScaleNormal="100" workbookViewId="0">
      <selection activeCell="D25" sqref="D25"/>
    </sheetView>
  </sheetViews>
  <sheetFormatPr defaultColWidth="8.75" defaultRowHeight="15.75" x14ac:dyDescent="0.25"/>
  <cols>
    <col min="1" max="1" width="42.25" bestFit="1" customWidth="1"/>
    <col min="2" max="2" width="12.375" bestFit="1" customWidth="1"/>
    <col min="3" max="3" width="17.375" bestFit="1" customWidth="1"/>
    <col min="4" max="4" width="25" bestFit="1" customWidth="1"/>
    <col min="5" max="5" width="11.5" bestFit="1" customWidth="1"/>
    <col min="6" max="6" width="25" bestFit="1" customWidth="1"/>
    <col min="7" max="7" width="16.625" bestFit="1" customWidth="1"/>
    <col min="8" max="8" width="15.25" bestFit="1" customWidth="1"/>
    <col min="9" max="9" width="10.5" bestFit="1" customWidth="1"/>
    <col min="10" max="10" width="24.375" customWidth="1"/>
    <col min="11" max="12" width="10.625" bestFit="1" customWidth="1"/>
    <col min="13" max="13" width="22.25" customWidth="1"/>
    <col min="14" max="361" width="10.625" bestFit="1" customWidth="1"/>
    <col min="362" max="362" width="10.5" bestFit="1" customWidth="1"/>
    <col min="363" max="727" width="10.625" bestFit="1" customWidth="1"/>
    <col min="728" max="728" width="10.5" bestFit="1" customWidth="1"/>
    <col min="729" max="729" width="21.75" bestFit="1" customWidth="1"/>
    <col min="730" max="1087" width="10.625" bestFit="1" customWidth="1"/>
    <col min="1088" max="1088" width="9.75" bestFit="1" customWidth="1"/>
    <col min="1089" max="1453" width="10.625" bestFit="1" customWidth="1"/>
    <col min="1454" max="1454" width="10.5" bestFit="1" customWidth="1"/>
    <col min="1455" max="1455" width="22.375" bestFit="1" customWidth="1"/>
    <col min="1456" max="1456" width="26.75" bestFit="1" customWidth="1"/>
  </cols>
  <sheetData>
    <row r="1" spans="1:13" x14ac:dyDescent="0.25">
      <c r="A1" s="2" t="s">
        <v>131</v>
      </c>
      <c r="B1" s="2" t="s">
        <v>9</v>
      </c>
      <c r="C1" s="2"/>
      <c r="D1" s="2" t="s">
        <v>132</v>
      </c>
      <c r="E1" s="2"/>
      <c r="F1" s="2" t="s">
        <v>133</v>
      </c>
      <c r="G1" s="2" t="s">
        <v>134</v>
      </c>
    </row>
    <row r="4" spans="1:13" x14ac:dyDescent="0.25">
      <c r="B4" t="s">
        <v>135</v>
      </c>
      <c r="D4" t="s">
        <v>137</v>
      </c>
      <c r="F4" t="s">
        <v>137</v>
      </c>
      <c r="G4" t="s">
        <v>136</v>
      </c>
      <c r="J4" t="s">
        <v>146</v>
      </c>
      <c r="M4" t="s">
        <v>148</v>
      </c>
    </row>
    <row r="5" spans="1:13" x14ac:dyDescent="0.25">
      <c r="B5" s="10">
        <v>12016664.999999965</v>
      </c>
      <c r="D5" s="10">
        <v>4722496.7700000061</v>
      </c>
      <c r="F5" s="6">
        <v>4722496.7700000061</v>
      </c>
      <c r="G5" s="7">
        <v>0.422991293532333</v>
      </c>
      <c r="J5" s="10">
        <v>489.47935012437875</v>
      </c>
      <c r="M5" s="14">
        <v>24788610</v>
      </c>
    </row>
    <row r="10" spans="1:13" x14ac:dyDescent="0.25">
      <c r="B10" s="11" t="s">
        <v>135</v>
      </c>
      <c r="C10" s="11" t="s">
        <v>147</v>
      </c>
    </row>
    <row r="11" spans="1:13" x14ac:dyDescent="0.25">
      <c r="B11" s="11" t="s">
        <v>138</v>
      </c>
      <c r="C11" t="s">
        <v>140</v>
      </c>
      <c r="D11" t="s">
        <v>141</v>
      </c>
    </row>
    <row r="12" spans="1:13" x14ac:dyDescent="0.25">
      <c r="B12" s="12" t="s">
        <v>128</v>
      </c>
      <c r="C12" s="6">
        <v>1170361.5999999996</v>
      </c>
      <c r="D12" s="6">
        <v>2070594.1999999993</v>
      </c>
      <c r="E12" s="12" t="str">
        <f>B12</f>
        <v>West Soda</v>
      </c>
      <c r="F12" s="12">
        <f t="shared" ref="F12:G17" si="0">C12</f>
        <v>1170361.5999999996</v>
      </c>
      <c r="G12" s="12">
        <f t="shared" si="0"/>
        <v>2070594.1999999993</v>
      </c>
    </row>
    <row r="13" spans="1:13" x14ac:dyDescent="0.25">
      <c r="B13" s="12" t="s">
        <v>126</v>
      </c>
      <c r="C13" s="6">
        <v>339912.5</v>
      </c>
      <c r="D13" s="6">
        <v>580211.00000000023</v>
      </c>
      <c r="E13" s="12" t="str">
        <f t="shared" ref="E13:E17" si="1">B13</f>
        <v>Walmart</v>
      </c>
      <c r="F13" s="12">
        <f t="shared" si="0"/>
        <v>339912.5</v>
      </c>
      <c r="G13" s="12">
        <f t="shared" si="0"/>
        <v>580211.00000000023</v>
      </c>
    </row>
    <row r="14" spans="1:13" x14ac:dyDescent="0.25">
      <c r="B14" s="12" t="s">
        <v>129</v>
      </c>
      <c r="C14" s="6">
        <v>9250.3000000000011</v>
      </c>
      <c r="D14" s="6">
        <v>1341994.9999999998</v>
      </c>
      <c r="E14" s="12" t="str">
        <f t="shared" si="1"/>
        <v>Target</v>
      </c>
      <c r="F14" s="12">
        <f t="shared" si="0"/>
        <v>9250.3000000000011</v>
      </c>
      <c r="G14" s="12">
        <f t="shared" si="0"/>
        <v>1341994.9999999998</v>
      </c>
    </row>
    <row r="15" spans="1:13" x14ac:dyDescent="0.25">
      <c r="B15" s="12" t="s">
        <v>127</v>
      </c>
      <c r="C15" s="6">
        <v>161210.1</v>
      </c>
      <c r="D15" s="6">
        <v>2262827.0999999978</v>
      </c>
      <c r="E15" s="12" t="str">
        <f t="shared" si="1"/>
        <v>FizzyCo</v>
      </c>
      <c r="F15" s="12">
        <f t="shared" si="0"/>
        <v>161210.1</v>
      </c>
      <c r="G15" s="12">
        <f t="shared" si="0"/>
        <v>2262827.0999999978</v>
      </c>
    </row>
    <row r="16" spans="1:13" x14ac:dyDescent="0.25">
      <c r="B16" s="12" t="s">
        <v>20</v>
      </c>
      <c r="C16" s="6">
        <v>466787.99999999994</v>
      </c>
      <c r="D16" s="6">
        <v>2327606.5000000019</v>
      </c>
      <c r="E16" s="12" t="str">
        <f t="shared" si="1"/>
        <v>BevCo</v>
      </c>
      <c r="F16" s="12">
        <f t="shared" si="0"/>
        <v>466787.99999999994</v>
      </c>
      <c r="G16" s="12">
        <f t="shared" si="0"/>
        <v>2327606.5000000019</v>
      </c>
    </row>
    <row r="17" spans="2:8" x14ac:dyDescent="0.25">
      <c r="B17" s="12" t="s">
        <v>130</v>
      </c>
      <c r="C17" s="6">
        <v>276210</v>
      </c>
      <c r="D17" s="6">
        <v>1009698.7</v>
      </c>
      <c r="E17" s="12" t="str">
        <f t="shared" si="1"/>
        <v>Amazon</v>
      </c>
      <c r="F17" s="12">
        <f t="shared" si="0"/>
        <v>276210</v>
      </c>
      <c r="G17" s="12">
        <f t="shared" si="0"/>
        <v>1009698.7</v>
      </c>
    </row>
    <row r="21" spans="2:8" x14ac:dyDescent="0.25">
      <c r="B21" s="11" t="s">
        <v>138</v>
      </c>
      <c r="C21" t="s">
        <v>139</v>
      </c>
      <c r="D21" t="s">
        <v>146</v>
      </c>
    </row>
    <row r="22" spans="2:8" x14ac:dyDescent="0.25">
      <c r="B22" s="12" t="s">
        <v>140</v>
      </c>
      <c r="C22" s="6">
        <v>90391.799999999988</v>
      </c>
      <c r="D22" s="6">
        <v>241.15434722222233</v>
      </c>
      <c r="E22" t="str">
        <f>B22</f>
        <v>2022</v>
      </c>
      <c r="F22" t="str">
        <f>B23</f>
        <v>Qtr4</v>
      </c>
      <c r="G22" s="19">
        <f>C23</f>
        <v>90391.799999999988</v>
      </c>
      <c r="H22" s="19">
        <f>D23</f>
        <v>241.15434722222233</v>
      </c>
    </row>
    <row r="23" spans="2:8" x14ac:dyDescent="0.25">
      <c r="B23" s="13" t="s">
        <v>145</v>
      </c>
      <c r="C23" s="6">
        <v>90391.799999999988</v>
      </c>
      <c r="D23" s="6">
        <v>241.15434722222233</v>
      </c>
      <c r="F23" t="str">
        <f>B24</f>
        <v>2023</v>
      </c>
      <c r="G23" s="19">
        <f>C24</f>
        <v>1577051.5999999999</v>
      </c>
      <c r="H23" s="19">
        <f>D24</f>
        <v>376.8913755787035</v>
      </c>
    </row>
    <row r="24" spans="2:8" x14ac:dyDescent="0.25">
      <c r="B24" s="12" t="s">
        <v>141</v>
      </c>
      <c r="C24" s="6">
        <v>1577051.5999999999</v>
      </c>
      <c r="D24" s="6">
        <v>376.8913755787035</v>
      </c>
      <c r="F24" t="str">
        <f>B25</f>
        <v>Qtr1</v>
      </c>
      <c r="G24" s="19">
        <f>C25</f>
        <v>383459.10000000003</v>
      </c>
      <c r="H24" s="19">
        <f>D25</f>
        <v>338.11582264957269</v>
      </c>
    </row>
    <row r="25" spans="2:8" x14ac:dyDescent="0.25">
      <c r="B25" s="13" t="s">
        <v>142</v>
      </c>
      <c r="C25" s="6">
        <v>383459.10000000003</v>
      </c>
      <c r="D25" s="6">
        <v>338.11582264957269</v>
      </c>
      <c r="F25" t="str">
        <f>B26</f>
        <v>Qtr2</v>
      </c>
      <c r="G25" s="19">
        <f>C26</f>
        <v>355718.20000000007</v>
      </c>
      <c r="H25" s="19">
        <f>D26</f>
        <v>327.64214380530979</v>
      </c>
    </row>
    <row r="26" spans="2:8" x14ac:dyDescent="0.25">
      <c r="B26" s="13" t="s">
        <v>143</v>
      </c>
      <c r="C26" s="6">
        <v>355718.20000000007</v>
      </c>
      <c r="D26" s="6">
        <v>327.64214380530979</v>
      </c>
      <c r="E26" t="str">
        <f>B27</f>
        <v>Qtr3</v>
      </c>
      <c r="F26" t="str">
        <f>B28</f>
        <v>Qtr4</v>
      </c>
      <c r="G26" s="19">
        <f>C28</f>
        <v>354252.3</v>
      </c>
      <c r="H26" s="19">
        <f>D28</f>
        <v>447.28746296296299</v>
      </c>
    </row>
    <row r="27" spans="2:8" x14ac:dyDescent="0.25">
      <c r="B27" s="13" t="s">
        <v>144</v>
      </c>
      <c r="C27" s="6">
        <v>483622</v>
      </c>
      <c r="D27" s="6">
        <v>413.25352272727275</v>
      </c>
      <c r="F27">
        <f>B29</f>
        <v>0</v>
      </c>
      <c r="G27" s="19">
        <f>C29</f>
        <v>0</v>
      </c>
      <c r="H27" s="19">
        <f>D29</f>
        <v>0</v>
      </c>
    </row>
    <row r="28" spans="2:8" x14ac:dyDescent="0.25">
      <c r="B28" s="13" t="s">
        <v>145</v>
      </c>
      <c r="C28" s="6">
        <v>354252.3</v>
      </c>
      <c r="D28" s="6">
        <v>447.28746296296299</v>
      </c>
      <c r="F28">
        <f>B30</f>
        <v>0</v>
      </c>
      <c r="G28" s="19">
        <f>C30</f>
        <v>0</v>
      </c>
      <c r="H28" s="19">
        <f>D30</f>
        <v>0</v>
      </c>
    </row>
    <row r="29" spans="2:8" x14ac:dyDescent="0.25">
      <c r="F29">
        <f>B31</f>
        <v>0</v>
      </c>
      <c r="G29" s="19">
        <f>C31</f>
        <v>0</v>
      </c>
      <c r="H29" s="19">
        <f>D31</f>
        <v>0</v>
      </c>
    </row>
    <row r="52" spans="1:6" x14ac:dyDescent="0.25">
      <c r="A52" s="11" t="s">
        <v>135</v>
      </c>
      <c r="B52" s="11" t="s">
        <v>147</v>
      </c>
    </row>
    <row r="53" spans="1:6" x14ac:dyDescent="0.25">
      <c r="A53" s="11" t="s">
        <v>138</v>
      </c>
      <c r="B53" t="s">
        <v>140</v>
      </c>
      <c r="C53" t="s">
        <v>141</v>
      </c>
    </row>
    <row r="54" spans="1:6" x14ac:dyDescent="0.25">
      <c r="A54" s="12" t="s">
        <v>14</v>
      </c>
      <c r="B54" s="6">
        <v>499102.00000000017</v>
      </c>
      <c r="C54" s="6">
        <v>2268974.9000000032</v>
      </c>
      <c r="D54" t="str">
        <f>A54</f>
        <v>Coca-Cola</v>
      </c>
      <c r="E54">
        <f t="shared" ref="E54:F54" si="2">B54</f>
        <v>499102.00000000017</v>
      </c>
      <c r="F54">
        <f t="shared" si="2"/>
        <v>2268974.9000000032</v>
      </c>
    </row>
    <row r="55" spans="1:6" x14ac:dyDescent="0.25">
      <c r="A55" s="12" t="s">
        <v>19</v>
      </c>
      <c r="B55" s="6">
        <v>469270.69999999984</v>
      </c>
      <c r="C55" s="6">
        <v>1917827.7999999949</v>
      </c>
      <c r="D55" t="str">
        <f t="shared" ref="D55:D59" si="3">A55</f>
        <v>Dasani Water</v>
      </c>
      <c r="E55">
        <f t="shared" ref="E55:E59" si="4">B55</f>
        <v>469270.69999999984</v>
      </c>
      <c r="F55">
        <f t="shared" ref="F55:F59" si="5">C55</f>
        <v>1917827.7999999949</v>
      </c>
    </row>
    <row r="56" spans="1:6" x14ac:dyDescent="0.25">
      <c r="A56" s="12" t="s">
        <v>15</v>
      </c>
      <c r="B56" s="6">
        <v>423758.70000000007</v>
      </c>
      <c r="C56" s="6">
        <v>1633959.3000000005</v>
      </c>
      <c r="D56" t="str">
        <f t="shared" si="3"/>
        <v>Diet Coke</v>
      </c>
      <c r="E56">
        <f t="shared" si="4"/>
        <v>423758.70000000007</v>
      </c>
      <c r="F56">
        <f t="shared" si="5"/>
        <v>1633959.3000000005</v>
      </c>
    </row>
    <row r="57" spans="1:6" x14ac:dyDescent="0.25">
      <c r="A57" s="12" t="s">
        <v>16</v>
      </c>
      <c r="B57" s="6">
        <v>366577.99999999988</v>
      </c>
      <c r="C57" s="6">
        <v>1353578.2999999986</v>
      </c>
      <c r="D57" t="str">
        <f t="shared" si="3"/>
        <v>Sprite</v>
      </c>
      <c r="E57">
        <f t="shared" si="4"/>
        <v>366577.99999999988</v>
      </c>
      <c r="F57">
        <f t="shared" si="5"/>
        <v>1353578.2999999986</v>
      </c>
    </row>
    <row r="58" spans="1:6" x14ac:dyDescent="0.25">
      <c r="A58" s="12" t="s">
        <v>18</v>
      </c>
      <c r="B58" s="6">
        <v>349533.89999999997</v>
      </c>
      <c r="C58" s="6">
        <v>1302529.3000000012</v>
      </c>
      <c r="D58" t="str">
        <f t="shared" si="3"/>
        <v>Powerade</v>
      </c>
      <c r="E58">
        <f t="shared" si="4"/>
        <v>349533.89999999997</v>
      </c>
      <c r="F58">
        <f t="shared" si="5"/>
        <v>1302529.3000000012</v>
      </c>
    </row>
    <row r="59" spans="1:6" x14ac:dyDescent="0.25">
      <c r="A59" s="12" t="s">
        <v>17</v>
      </c>
      <c r="B59" s="6">
        <v>315489.20000000013</v>
      </c>
      <c r="C59" s="6">
        <v>1116062.9000000027</v>
      </c>
      <c r="D59" t="str">
        <f t="shared" si="3"/>
        <v>Fanta</v>
      </c>
      <c r="E59">
        <f t="shared" si="4"/>
        <v>315489.20000000013</v>
      </c>
      <c r="F59">
        <f t="shared" si="5"/>
        <v>1116062.9000000027</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6"/>
  <sheetViews>
    <sheetView tabSelected="1" topLeftCell="A7" zoomScale="70" zoomScaleNormal="70" workbookViewId="0">
      <selection activeCell="O27" sqref="O27"/>
    </sheetView>
  </sheetViews>
  <sheetFormatPr defaultColWidth="11.25" defaultRowHeight="15.75" x14ac:dyDescent="0.25"/>
  <cols>
    <col min="1" max="1" width="31.25" style="17" customWidth="1"/>
    <col min="2" max="2" width="14.875" customWidth="1"/>
    <col min="3" max="3" width="16.5" customWidth="1"/>
    <col min="4" max="4" width="17.625" customWidth="1"/>
    <col min="5" max="5" width="21" customWidth="1"/>
    <col min="6" max="6" width="14.375" customWidth="1"/>
    <col min="8" max="8" width="14.625" customWidth="1"/>
    <col min="9" max="9" width="14.375" customWidth="1"/>
    <col min="10" max="10" width="16.25" customWidth="1"/>
    <col min="11" max="11" width="18" customWidth="1"/>
  </cols>
  <sheetData>
    <row r="1" spans="2:22" x14ac:dyDescent="0.25">
      <c r="B1" s="17"/>
      <c r="C1" s="17"/>
      <c r="D1" s="17"/>
      <c r="E1" s="17"/>
      <c r="F1" s="17"/>
      <c r="G1" s="17"/>
      <c r="H1" s="17"/>
      <c r="I1" s="17"/>
      <c r="J1" s="17"/>
      <c r="K1" s="17"/>
      <c r="L1" s="17"/>
      <c r="M1" s="17"/>
      <c r="N1" s="18"/>
      <c r="O1" s="18"/>
      <c r="P1" s="18"/>
      <c r="Q1" s="18"/>
      <c r="R1" s="18"/>
      <c r="S1" s="18"/>
      <c r="T1" s="18"/>
      <c r="U1" s="18"/>
      <c r="V1" s="18"/>
    </row>
    <row r="2" spans="2:22" x14ac:dyDescent="0.25">
      <c r="B2" s="17"/>
      <c r="C2" s="17"/>
      <c r="D2" s="17"/>
      <c r="E2" s="17"/>
      <c r="F2" s="17"/>
      <c r="G2" s="17"/>
      <c r="H2" s="17"/>
      <c r="I2" s="17"/>
      <c r="J2" s="17"/>
      <c r="K2" s="17"/>
      <c r="L2" s="17"/>
      <c r="M2" s="17"/>
      <c r="N2" s="18"/>
      <c r="O2" s="18"/>
      <c r="P2" s="18"/>
      <c r="Q2" s="18"/>
      <c r="R2" s="18"/>
      <c r="S2" s="18"/>
      <c r="T2" s="18"/>
      <c r="U2" s="18"/>
      <c r="V2" s="18"/>
    </row>
    <row r="3" spans="2:22" x14ac:dyDescent="0.25">
      <c r="B3" s="17"/>
      <c r="C3" s="17"/>
      <c r="D3" s="17"/>
      <c r="E3" s="17"/>
      <c r="F3" s="17"/>
      <c r="G3" s="17"/>
      <c r="H3" s="17"/>
      <c r="I3" s="17"/>
      <c r="J3" s="17"/>
      <c r="K3" s="17"/>
      <c r="L3" s="17"/>
      <c r="M3" s="17"/>
      <c r="N3" s="18"/>
      <c r="O3" s="18"/>
      <c r="P3" s="18"/>
      <c r="Q3" s="18"/>
      <c r="R3" s="18"/>
      <c r="S3" s="18"/>
      <c r="T3" s="18"/>
      <c r="U3" s="18"/>
      <c r="V3" s="18"/>
    </row>
    <row r="4" spans="2:22" x14ac:dyDescent="0.25">
      <c r="B4" s="17"/>
      <c r="C4" s="17"/>
      <c r="D4" s="17"/>
      <c r="E4" s="17"/>
      <c r="F4" s="17"/>
      <c r="G4" s="17"/>
      <c r="H4" s="17"/>
      <c r="I4" s="17"/>
      <c r="J4" s="17"/>
      <c r="K4" s="17"/>
      <c r="L4" s="17"/>
      <c r="M4" s="17"/>
      <c r="N4" s="18"/>
      <c r="O4" s="18"/>
      <c r="P4" s="18"/>
      <c r="Q4" s="18"/>
      <c r="R4" s="18"/>
      <c r="S4" s="18"/>
      <c r="T4" s="18"/>
      <c r="U4" s="18"/>
      <c r="V4" s="18"/>
    </row>
    <row r="5" spans="2:22" x14ac:dyDescent="0.25">
      <c r="B5" s="17"/>
      <c r="C5" s="17"/>
      <c r="D5" s="17"/>
      <c r="E5" s="17"/>
      <c r="F5" s="17"/>
      <c r="G5" s="17"/>
      <c r="H5" s="17"/>
      <c r="I5" s="17"/>
      <c r="J5" s="17"/>
      <c r="K5" s="17"/>
      <c r="L5" s="17"/>
      <c r="M5" s="17"/>
      <c r="N5" s="18"/>
      <c r="O5" s="18"/>
      <c r="P5" s="18"/>
      <c r="Q5" s="18"/>
      <c r="R5" s="18"/>
      <c r="S5" s="18"/>
      <c r="T5" s="18"/>
      <c r="U5" s="18"/>
      <c r="V5" s="18"/>
    </row>
    <row r="6" spans="2:22" x14ac:dyDescent="0.25">
      <c r="B6" s="17"/>
      <c r="C6" s="17"/>
      <c r="D6" s="17"/>
      <c r="E6" s="17"/>
      <c r="F6" s="17"/>
      <c r="G6" s="17"/>
      <c r="H6" s="17"/>
      <c r="I6" s="17"/>
      <c r="J6" s="17"/>
      <c r="K6" s="17"/>
      <c r="L6" s="17"/>
      <c r="M6" s="17"/>
      <c r="N6" s="18"/>
      <c r="O6" s="18"/>
      <c r="P6" s="18"/>
      <c r="Q6" s="18"/>
      <c r="R6" s="18"/>
      <c r="S6" s="18"/>
      <c r="T6" s="18"/>
      <c r="U6" s="18"/>
      <c r="V6" s="18"/>
    </row>
    <row r="14" spans="2:22" ht="21.75" customHeight="1" x14ac:dyDescent="0.25">
      <c r="C14" s="17"/>
      <c r="D14" s="17"/>
      <c r="E14" s="17"/>
      <c r="F14" s="17"/>
      <c r="H14" s="17"/>
      <c r="I14" s="17"/>
      <c r="J14" s="17"/>
      <c r="K14" s="17"/>
      <c r="M14" s="18"/>
      <c r="N14" s="18"/>
      <c r="O14" s="18"/>
    </row>
    <row r="15" spans="2:22" x14ac:dyDescent="0.25">
      <c r="C15" s="15" t="s">
        <v>149</v>
      </c>
      <c r="D15" s="15" t="s">
        <v>150</v>
      </c>
      <c r="E15" s="15" t="s">
        <v>153</v>
      </c>
      <c r="F15" s="15" t="s">
        <v>151</v>
      </c>
      <c r="H15" s="15" t="s">
        <v>152</v>
      </c>
      <c r="I15" s="15" t="s">
        <v>150</v>
      </c>
      <c r="J15" s="15" t="s">
        <v>153</v>
      </c>
      <c r="K15" s="15" t="s">
        <v>151</v>
      </c>
    </row>
    <row r="16" spans="2:22" x14ac:dyDescent="0.25">
      <c r="C16" t="str">
        <f>Analyze!E12</f>
        <v>West Soda</v>
      </c>
      <c r="D16" s="16">
        <f>Analyze!F12</f>
        <v>1170361.5999999996</v>
      </c>
      <c r="E16" s="16">
        <f>Analyze!G12</f>
        <v>2070594.1999999993</v>
      </c>
      <c r="F16" s="16">
        <f>E16-D16</f>
        <v>900232.59999999963</v>
      </c>
      <c r="H16" t="str">
        <f>Analyze!D54</f>
        <v>Coca-Cola</v>
      </c>
      <c r="I16" s="16">
        <f>Analyze!E54</f>
        <v>499102.00000000017</v>
      </c>
      <c r="J16" s="16">
        <f>Analyze!F54</f>
        <v>2268974.9000000032</v>
      </c>
      <c r="K16" s="16">
        <f>J16-I16</f>
        <v>1769872.9000000029</v>
      </c>
    </row>
    <row r="17" spans="2:13" x14ac:dyDescent="0.25">
      <c r="C17" t="str">
        <f>Analyze!E13</f>
        <v>Walmart</v>
      </c>
      <c r="D17" s="16">
        <f>Analyze!F13</f>
        <v>339912.5</v>
      </c>
      <c r="E17" s="16">
        <f>Analyze!G13</f>
        <v>580211.00000000023</v>
      </c>
      <c r="F17" s="16">
        <f t="shared" ref="F17:F21" si="0">E17-D17</f>
        <v>240298.50000000023</v>
      </c>
      <c r="H17" t="str">
        <f>Analyze!D55</f>
        <v>Dasani Water</v>
      </c>
      <c r="I17" s="16">
        <f>Analyze!E55</f>
        <v>469270.69999999984</v>
      </c>
      <c r="J17" s="16">
        <f>Analyze!F55</f>
        <v>1917827.7999999949</v>
      </c>
      <c r="K17" s="16">
        <f t="shared" ref="K17:K21" si="1">J17-I17</f>
        <v>1448557.099999995</v>
      </c>
    </row>
    <row r="18" spans="2:13" x14ac:dyDescent="0.25">
      <c r="C18" t="str">
        <f>Analyze!E14</f>
        <v>Target</v>
      </c>
      <c r="D18" s="16">
        <f>Analyze!F14</f>
        <v>9250.3000000000011</v>
      </c>
      <c r="E18" s="16">
        <f>Analyze!G14</f>
        <v>1341994.9999999998</v>
      </c>
      <c r="F18" s="16">
        <f t="shared" si="0"/>
        <v>1332744.6999999997</v>
      </c>
      <c r="H18" t="str">
        <f>Analyze!D56</f>
        <v>Diet Coke</v>
      </c>
      <c r="I18" s="16">
        <f>Analyze!E56</f>
        <v>423758.70000000007</v>
      </c>
      <c r="J18" s="16">
        <f>Analyze!F56</f>
        <v>1633959.3000000005</v>
      </c>
      <c r="K18" s="16">
        <f t="shared" si="1"/>
        <v>1210200.6000000006</v>
      </c>
    </row>
    <row r="19" spans="2:13" x14ac:dyDescent="0.25">
      <c r="C19" t="str">
        <f>Analyze!E15</f>
        <v>FizzyCo</v>
      </c>
      <c r="D19" s="16">
        <f>Analyze!F15</f>
        <v>161210.1</v>
      </c>
      <c r="E19" s="16">
        <f>Analyze!G15</f>
        <v>2262827.0999999978</v>
      </c>
      <c r="F19" s="16">
        <f t="shared" si="0"/>
        <v>2101616.9999999977</v>
      </c>
      <c r="H19" t="str">
        <f>Analyze!D57</f>
        <v>Sprite</v>
      </c>
      <c r="I19" s="16">
        <f>Analyze!E57</f>
        <v>366577.99999999988</v>
      </c>
      <c r="J19" s="16">
        <f>Analyze!F57</f>
        <v>1353578.2999999986</v>
      </c>
      <c r="K19" s="16">
        <f t="shared" si="1"/>
        <v>987000.29999999877</v>
      </c>
    </row>
    <row r="20" spans="2:13" x14ac:dyDescent="0.25">
      <c r="C20" t="str">
        <f>Analyze!E16</f>
        <v>BevCo</v>
      </c>
      <c r="D20" s="16">
        <f>Analyze!F16</f>
        <v>466787.99999999994</v>
      </c>
      <c r="E20" s="16">
        <f>Analyze!G16</f>
        <v>2327606.5000000019</v>
      </c>
      <c r="F20" s="16">
        <f t="shared" si="0"/>
        <v>1860818.5000000019</v>
      </c>
      <c r="H20" t="str">
        <f>Analyze!D58</f>
        <v>Powerade</v>
      </c>
      <c r="I20" s="16">
        <f>Analyze!E58</f>
        <v>349533.89999999997</v>
      </c>
      <c r="J20" s="16">
        <f>Analyze!F58</f>
        <v>1302529.3000000012</v>
      </c>
      <c r="K20" s="16">
        <f t="shared" si="1"/>
        <v>952995.4000000013</v>
      </c>
    </row>
    <row r="21" spans="2:13" x14ac:dyDescent="0.25">
      <c r="C21" t="str">
        <f>Analyze!E17</f>
        <v>Amazon</v>
      </c>
      <c r="D21" s="16">
        <f>Analyze!F17</f>
        <v>276210</v>
      </c>
      <c r="E21" s="16">
        <f>Analyze!G17</f>
        <v>1009698.7</v>
      </c>
      <c r="F21" s="16">
        <f t="shared" si="0"/>
        <v>733488.7</v>
      </c>
      <c r="H21" t="str">
        <f>Analyze!D59</f>
        <v>Fanta</v>
      </c>
      <c r="I21" s="16">
        <f>Analyze!E59</f>
        <v>315489.20000000013</v>
      </c>
      <c r="J21" s="16">
        <f>Analyze!F59</f>
        <v>1116062.9000000027</v>
      </c>
      <c r="K21" s="16">
        <f t="shared" si="1"/>
        <v>800573.70000000251</v>
      </c>
    </row>
    <row r="22" spans="2:13" x14ac:dyDescent="0.25">
      <c r="C22" t="s">
        <v>154</v>
      </c>
      <c r="D22" s="16">
        <f>SUM(D16:D21)</f>
        <v>2423732.4999999995</v>
      </c>
      <c r="E22" s="16">
        <f t="shared" ref="E22:F22" si="2">SUM(E16:E21)</f>
        <v>9592932.4999999981</v>
      </c>
      <c r="F22" s="16">
        <f t="shared" si="2"/>
        <v>7169199.9999999991</v>
      </c>
      <c r="I22" s="16">
        <f>SUM(I16:I21)</f>
        <v>2423732.5</v>
      </c>
      <c r="J22" s="16">
        <f t="shared" ref="J22:K22" si="3">SUM(J16:J21)</f>
        <v>9592932.5000000019</v>
      </c>
      <c r="K22" s="16">
        <f t="shared" si="3"/>
        <v>7169200.0000000019</v>
      </c>
    </row>
    <row r="24" spans="2:13" x14ac:dyDescent="0.25">
      <c r="B24" s="17"/>
      <c r="C24" s="17"/>
      <c r="D24" s="17"/>
      <c r="E24" s="17"/>
      <c r="F24" s="17"/>
      <c r="G24" s="17"/>
      <c r="H24" s="17"/>
      <c r="I24" s="17"/>
      <c r="J24" s="17"/>
      <c r="K24" s="17"/>
      <c r="L24" s="17"/>
      <c r="M24" s="17"/>
    </row>
    <row r="25" spans="2:13" x14ac:dyDescent="0.25">
      <c r="B25" s="17"/>
      <c r="C25" s="17"/>
      <c r="D25" s="17"/>
      <c r="E25" s="17"/>
      <c r="F25" s="17"/>
      <c r="G25" s="17"/>
      <c r="H25" s="17"/>
      <c r="I25" s="17"/>
      <c r="J25" s="17"/>
      <c r="K25" s="17"/>
      <c r="L25" s="17"/>
      <c r="M25" s="17"/>
    </row>
    <row r="26" spans="2:13" x14ac:dyDescent="0.25">
      <c r="B26" s="17"/>
      <c r="C26" s="17"/>
      <c r="D26" s="17"/>
      <c r="E26" s="17"/>
      <c r="F26" s="17"/>
      <c r="G26" s="17"/>
      <c r="H26" s="17"/>
      <c r="I26" s="17"/>
      <c r="J26" s="17"/>
      <c r="K26" s="17"/>
      <c r="L26" s="17"/>
      <c r="M26" s="17"/>
    </row>
  </sheetData>
  <conditionalFormatting sqref="F16:F21">
    <cfRule type="dataBar" priority="2">
      <dataBar>
        <cfvo type="min"/>
        <cfvo type="max"/>
        <color rgb="FFFF555A"/>
      </dataBar>
      <extLst>
        <ext xmlns:x14="http://schemas.microsoft.com/office/spreadsheetml/2009/9/main" uri="{B025F937-C7B1-47D3-B67F-A62EFF666E3E}">
          <x14:id>{BBE5D12A-D7F4-4FBA-A321-6A505C4DBE60}</x14:id>
        </ext>
      </extLst>
    </cfRule>
  </conditionalFormatting>
  <conditionalFormatting sqref="K16:K21">
    <cfRule type="dataBar" priority="1">
      <dataBar>
        <cfvo type="min"/>
        <cfvo type="max"/>
        <color rgb="FFFF555A"/>
      </dataBar>
      <extLst>
        <ext xmlns:x14="http://schemas.microsoft.com/office/spreadsheetml/2009/9/main" uri="{B025F937-C7B1-47D3-B67F-A62EFF666E3E}">
          <x14:id>{C1B6822B-D437-42BA-A53E-4B1DAD0E89A9}</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BBE5D12A-D7F4-4FBA-A321-6A505C4DBE60}">
            <x14:dataBar minLength="0" maxLength="100" border="1" negativeBarBorderColorSameAsPositive="0">
              <x14:cfvo type="autoMin"/>
              <x14:cfvo type="autoMax"/>
              <x14:borderColor rgb="FFFF555A"/>
              <x14:negativeFillColor rgb="FFFF0000"/>
              <x14:negativeBorderColor rgb="FFFF0000"/>
              <x14:axisColor rgb="FF000000"/>
            </x14:dataBar>
          </x14:cfRule>
          <xm:sqref>F16:F21</xm:sqref>
        </x14:conditionalFormatting>
        <x14:conditionalFormatting xmlns:xm="http://schemas.microsoft.com/office/excel/2006/main">
          <x14:cfRule type="dataBar" id="{C1B6822B-D437-42BA-A53E-4B1DAD0E89A9}">
            <x14:dataBar minLength="0" maxLength="100" border="1" negativeBarBorderColorSameAsPositive="0">
              <x14:cfvo type="autoMin"/>
              <x14:cfvo type="autoMax"/>
              <x14:borderColor rgb="FFFF555A"/>
              <x14:negativeFillColor rgb="FFFF0000"/>
              <x14:negativeBorderColor rgb="FFFF0000"/>
              <x14:axisColor rgb="FF000000"/>
            </x14:dataBar>
          </x14:cfRule>
          <xm:sqref>K16:K21</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PC 33 Comlab 1</cp:lastModifiedBy>
  <dcterms:created xsi:type="dcterms:W3CDTF">2023-12-18T11:08:00Z</dcterms:created>
  <dcterms:modified xsi:type="dcterms:W3CDTF">2026-02-27T02:47:36Z</dcterms:modified>
</cp:coreProperties>
</file>